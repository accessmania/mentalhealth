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hi\Desktop\"/>
    </mc:Choice>
  </mc:AlternateContent>
  <xr:revisionPtr revIDLastSave="0" documentId="13_ncr:1_{4A14080D-2E14-4CFB-B53A-F6E1AD478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H15" i="1" s="1"/>
  <c r="G16" i="1"/>
  <c r="H16" i="1" s="1"/>
  <c r="G25" i="1" l="1"/>
  <c r="H25" i="1" l="1"/>
  <c r="H12" i="1" s="1"/>
  <c r="D12" i="1" s="1"/>
</calcChain>
</file>

<file path=xl/sharedStrings.xml><?xml version="1.0" encoding="utf-8"?>
<sst xmlns="http://schemas.openxmlformats.org/spreadsheetml/2006/main" count="31" uniqueCount="30">
  <si>
    <t>No.</t>
    <phoneticPr fontId="2" type="noConversion"/>
  </si>
  <si>
    <t>날  짜 :</t>
    <phoneticPr fontId="2" type="noConversion"/>
  </si>
  <si>
    <t>합계금액</t>
    <phoneticPr fontId="2" type="noConversion"/>
  </si>
  <si>
    <t>수  신 :</t>
    <phoneticPr fontId="2" type="noConversion"/>
  </si>
  <si>
    <t>아래와 같이 견적합니다</t>
    <phoneticPr fontId="2" type="noConversion"/>
  </si>
  <si>
    <t>(공급가액+세액)</t>
    <phoneticPr fontId="2" type="noConversion"/>
  </si>
  <si>
    <t>품명</t>
    <phoneticPr fontId="2" type="noConversion"/>
  </si>
  <si>
    <t>규격</t>
    <phoneticPr fontId="2" type="noConversion"/>
  </si>
  <si>
    <t>수량</t>
    <phoneticPr fontId="2" type="noConversion"/>
  </si>
  <si>
    <t>단가</t>
    <phoneticPr fontId="2" type="noConversion"/>
  </si>
  <si>
    <t>공급가액</t>
    <phoneticPr fontId="2" type="noConversion"/>
  </si>
  <si>
    <t>세액</t>
    <phoneticPr fontId="2" type="noConversion"/>
  </si>
  <si>
    <t>비고</t>
    <phoneticPr fontId="2" type="noConversion"/>
  </si>
  <si>
    <t>※ 부가세 및 택배비 포함 가격입니다.</t>
    <phoneticPr fontId="2" type="noConversion"/>
  </si>
  <si>
    <t>견    적    서</t>
    <phoneticPr fontId="2" type="noConversion"/>
  </si>
  <si>
    <t>합                   계</t>
    <phoneticPr fontId="2" type="noConversion"/>
  </si>
  <si>
    <t>등록번호</t>
    <phoneticPr fontId="2" type="noConversion"/>
  </si>
  <si>
    <t>사업장 주소</t>
    <phoneticPr fontId="2" type="noConversion"/>
  </si>
  <si>
    <t>상      호</t>
    <phoneticPr fontId="2" type="noConversion"/>
  </si>
  <si>
    <t>업     태</t>
    <phoneticPr fontId="2" type="noConversion"/>
  </si>
  <si>
    <t>종     목</t>
    <phoneticPr fontId="2" type="noConversion"/>
  </si>
  <si>
    <t>성     명</t>
    <phoneticPr fontId="2" type="noConversion"/>
  </si>
  <si>
    <t>경북정신건강복지센터</t>
    <phoneticPr fontId="2" type="noConversion"/>
  </si>
  <si>
    <t>서비스</t>
    <phoneticPr fontId="2" type="noConversion"/>
  </si>
  <si>
    <t>206-30-25848</t>
    <phoneticPr fontId="2" type="noConversion"/>
  </si>
  <si>
    <t>세안글로벌</t>
    <phoneticPr fontId="2" type="noConversion"/>
  </si>
  <si>
    <t>안준범</t>
    <phoneticPr fontId="2" type="noConversion"/>
  </si>
  <si>
    <t>서울시 영등포구 당산로41길 11</t>
    <phoneticPr fontId="2" type="noConversion"/>
  </si>
  <si>
    <t>비즈 솔루션</t>
    <phoneticPr fontId="2" type="noConversion"/>
  </si>
  <si>
    <t>정신증 고위험군 평가지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</si>
</sst>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_-* #,##0_-;\-* #,##0_-;_-* &quot;-&quot;?_-;_-@_-"/>
    <numFmt numFmtId="177" formatCode="\(&quot;₩&quot;#,##0\)"/>
    <numFmt numFmtId="178" formatCode="[DBNum4][$-412]General\ &quot;원&quot;&quot;정&quot;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HY신명조"/>
      <family val="1"/>
      <charset val="129"/>
    </font>
    <font>
      <sz val="9"/>
      <name val="HY신명조"/>
      <family val="1"/>
      <charset val="129"/>
    </font>
    <font>
      <sz val="8"/>
      <name val="HY신명조"/>
      <family val="1"/>
      <charset val="129"/>
    </font>
    <font>
      <b/>
      <sz val="18"/>
      <name val="HY신명조"/>
      <family val="1"/>
      <charset val="129"/>
    </font>
    <font>
      <b/>
      <sz val="12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14" fontId="4" fillId="0" borderId="1" xfId="0" applyNumberFormat="1" applyFont="1" applyBorder="1">
      <alignment vertical="center"/>
    </xf>
    <xf numFmtId="0" fontId="4" fillId="0" borderId="0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2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41" fontId="4" fillId="0" borderId="2" xfId="1" applyFont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6" fillId="0" borderId="2" xfId="0" applyNumberFormat="1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7" fontId="8" fillId="0" borderId="22" xfId="2" applyNumberFormat="1" applyFont="1" applyBorder="1" applyAlignment="1">
      <alignment horizontal="center" vertical="center"/>
    </xf>
    <xf numFmtId="177" fontId="8" fillId="0" borderId="23" xfId="2" applyNumberFormat="1" applyFont="1" applyBorder="1" applyAlignment="1">
      <alignment horizontal="center" vertical="center"/>
    </xf>
    <xf numFmtId="177" fontId="8" fillId="0" borderId="2" xfId="2" applyNumberFormat="1" applyFont="1" applyBorder="1" applyAlignment="1">
      <alignment horizontal="center" vertical="center"/>
    </xf>
    <xf numFmtId="177" fontId="8" fillId="0" borderId="7" xfId="2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9"/>
  <sheetViews>
    <sheetView tabSelected="1" zoomScale="130" workbookViewId="0">
      <selection activeCell="K8" sqref="K8"/>
    </sheetView>
  </sheetViews>
  <sheetFormatPr defaultRowHeight="12" x14ac:dyDescent="0.15"/>
  <cols>
    <col min="1" max="1" width="3.109375" style="1" customWidth="1"/>
    <col min="2" max="2" width="5.88671875" style="1" customWidth="1"/>
    <col min="3" max="3" width="15.21875" style="1" customWidth="1"/>
    <col min="4" max="5" width="4.88671875" style="1" customWidth="1"/>
    <col min="6" max="6" width="10" style="1" customWidth="1"/>
    <col min="7" max="7" width="10.44140625" style="1" customWidth="1"/>
    <col min="8" max="8" width="9.77734375" style="1" bestFit="1" customWidth="1"/>
    <col min="9" max="16384" width="8.88671875" style="1"/>
  </cols>
  <sheetData>
    <row r="2" spans="1:9" ht="20.100000000000001" customHeight="1" x14ac:dyDescent="0.15">
      <c r="A2" s="8" t="s">
        <v>0</v>
      </c>
      <c r="B2" s="2">
        <v>1</v>
      </c>
      <c r="C2" s="3"/>
      <c r="D2" s="3"/>
      <c r="E2" s="3"/>
      <c r="F2" s="3"/>
      <c r="G2" s="3"/>
      <c r="H2" s="3"/>
      <c r="I2" s="3"/>
    </row>
    <row r="3" spans="1:9" ht="10.5" customHeight="1" x14ac:dyDescent="0.15">
      <c r="A3" s="3"/>
      <c r="B3" s="3"/>
      <c r="C3" s="3"/>
      <c r="D3" s="3"/>
      <c r="E3" s="3"/>
      <c r="F3" s="3"/>
      <c r="G3" s="3"/>
      <c r="H3" s="3"/>
      <c r="I3" s="3"/>
    </row>
    <row r="4" spans="1:9" ht="28.5" customHeight="1" x14ac:dyDescent="0.15">
      <c r="A4" s="41" t="s">
        <v>14</v>
      </c>
      <c r="B4" s="41"/>
      <c r="C4" s="41"/>
      <c r="D4" s="41"/>
      <c r="E4" s="41"/>
      <c r="F4" s="41"/>
      <c r="G4" s="41"/>
      <c r="H4" s="41"/>
      <c r="I4" s="41"/>
    </row>
    <row r="5" spans="1:9" ht="12" customHeight="1" thickBo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20.100000000000001" customHeight="1" thickTop="1" x14ac:dyDescent="0.15">
      <c r="A6" s="3"/>
      <c r="B6" s="2" t="s">
        <v>1</v>
      </c>
      <c r="C6" s="4">
        <v>44573</v>
      </c>
      <c r="D6" s="5"/>
      <c r="E6" s="3"/>
      <c r="F6" s="23" t="s">
        <v>16</v>
      </c>
      <c r="G6" s="42" t="s">
        <v>24</v>
      </c>
      <c r="H6" s="43"/>
      <c r="I6" s="44"/>
    </row>
    <row r="7" spans="1:9" ht="20.100000000000001" customHeight="1" x14ac:dyDescent="0.15">
      <c r="A7" s="3"/>
      <c r="B7" s="5" t="s">
        <v>3</v>
      </c>
      <c r="C7" s="59" t="s">
        <v>22</v>
      </c>
      <c r="D7" s="3"/>
      <c r="E7" s="3"/>
      <c r="F7" s="24" t="s">
        <v>18</v>
      </c>
      <c r="G7" s="12" t="s">
        <v>25</v>
      </c>
      <c r="H7" s="12" t="s">
        <v>21</v>
      </c>
      <c r="I7" s="22" t="s">
        <v>26</v>
      </c>
    </row>
    <row r="8" spans="1:9" ht="20.100000000000001" customHeight="1" x14ac:dyDescent="0.15">
      <c r="A8" s="3"/>
      <c r="B8" s="5"/>
      <c r="C8" s="25"/>
      <c r="D8" s="3"/>
      <c r="E8" s="3"/>
      <c r="F8" s="24" t="s">
        <v>17</v>
      </c>
      <c r="G8" s="45" t="s">
        <v>27</v>
      </c>
      <c r="H8" s="46"/>
      <c r="I8" s="47"/>
    </row>
    <row r="9" spans="1:9" ht="20.100000000000001" customHeight="1" x14ac:dyDescent="0.15">
      <c r="A9" s="3"/>
      <c r="B9" s="5"/>
      <c r="C9" s="5"/>
      <c r="D9" s="3"/>
      <c r="E9" s="3"/>
      <c r="F9" s="24" t="s">
        <v>19</v>
      </c>
      <c r="G9" s="12" t="s">
        <v>23</v>
      </c>
      <c r="H9" s="12" t="s">
        <v>20</v>
      </c>
      <c r="I9" s="33" t="s">
        <v>28</v>
      </c>
    </row>
    <row r="10" spans="1:9" ht="20.100000000000001" customHeight="1" thickBot="1" x14ac:dyDescent="0.2">
      <c r="A10" s="3"/>
      <c r="B10" s="3" t="s">
        <v>4</v>
      </c>
      <c r="C10" s="3"/>
      <c r="D10" s="3"/>
      <c r="E10" s="3"/>
      <c r="F10" s="56"/>
      <c r="G10" s="57"/>
      <c r="H10" s="57"/>
      <c r="I10" s="58"/>
    </row>
    <row r="11" spans="1:9" ht="20.100000000000001" customHeight="1" thickTop="1" thickBo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20.100000000000001" customHeight="1" thickTop="1" x14ac:dyDescent="0.15">
      <c r="A12" s="3"/>
      <c r="B12" s="52" t="s">
        <v>2</v>
      </c>
      <c r="C12" s="53"/>
      <c r="D12" s="39">
        <f>H12</f>
        <v>3300000</v>
      </c>
      <c r="E12" s="39"/>
      <c r="F12" s="39"/>
      <c r="G12" s="39"/>
      <c r="H12" s="48">
        <f>G25+H25</f>
        <v>3300000</v>
      </c>
      <c r="I12" s="49"/>
    </row>
    <row r="13" spans="1:9" ht="20.100000000000001" customHeight="1" x14ac:dyDescent="0.15">
      <c r="A13" s="3"/>
      <c r="B13" s="54" t="s">
        <v>5</v>
      </c>
      <c r="C13" s="55"/>
      <c r="D13" s="40"/>
      <c r="E13" s="40"/>
      <c r="F13" s="40"/>
      <c r="G13" s="40"/>
      <c r="H13" s="50"/>
      <c r="I13" s="51"/>
    </row>
    <row r="14" spans="1:9" ht="20.100000000000001" customHeight="1" x14ac:dyDescent="0.15">
      <c r="A14" s="3"/>
      <c r="B14" s="24" t="s">
        <v>0</v>
      </c>
      <c r="C14" s="12" t="s">
        <v>6</v>
      </c>
      <c r="D14" s="12" t="s">
        <v>7</v>
      </c>
      <c r="E14" s="12" t="s">
        <v>8</v>
      </c>
      <c r="F14" s="12" t="s">
        <v>9</v>
      </c>
      <c r="G14" s="12" t="s">
        <v>10</v>
      </c>
      <c r="H14" s="12" t="s">
        <v>11</v>
      </c>
      <c r="I14" s="22" t="s">
        <v>12</v>
      </c>
    </row>
    <row r="15" spans="1:9" ht="20.100000000000001" customHeight="1" x14ac:dyDescent="0.15">
      <c r="A15" s="3"/>
      <c r="B15" s="24">
        <v>1</v>
      </c>
      <c r="C15" s="12" t="s">
        <v>29</v>
      </c>
      <c r="D15" s="26"/>
      <c r="E15" s="34">
        <v>1</v>
      </c>
      <c r="F15" s="27">
        <v>3000000</v>
      </c>
      <c r="G15" s="28">
        <f>E15*F15</f>
        <v>3000000</v>
      </c>
      <c r="H15" s="29">
        <f>G15*0.1</f>
        <v>300000</v>
      </c>
      <c r="I15" s="22"/>
    </row>
    <row r="16" spans="1:9" ht="20.100000000000001" customHeight="1" x14ac:dyDescent="0.15">
      <c r="A16" s="3"/>
      <c r="B16" s="24"/>
      <c r="C16" s="12"/>
      <c r="D16" s="26"/>
      <c r="E16" s="12"/>
      <c r="F16" s="27"/>
      <c r="G16" s="28">
        <f t="shared" ref="G16" si="0">E16*F16</f>
        <v>0</v>
      </c>
      <c r="H16" s="29">
        <f t="shared" ref="H16:H25" si="1">G16*0.1</f>
        <v>0</v>
      </c>
      <c r="I16" s="22"/>
    </row>
    <row r="17" spans="1:9" ht="20.100000000000001" customHeight="1" x14ac:dyDescent="0.15">
      <c r="A17" s="3"/>
      <c r="B17" s="24"/>
      <c r="C17" s="12"/>
      <c r="D17" s="26"/>
      <c r="E17" s="12"/>
      <c r="F17" s="27"/>
      <c r="G17" s="28"/>
      <c r="H17" s="29"/>
      <c r="I17" s="22"/>
    </row>
    <row r="18" spans="1:9" ht="20.100000000000001" customHeight="1" x14ac:dyDescent="0.15">
      <c r="A18" s="3"/>
      <c r="B18" s="24"/>
      <c r="C18" s="12"/>
      <c r="D18" s="6"/>
      <c r="E18" s="6"/>
      <c r="F18" s="30"/>
      <c r="G18" s="31"/>
      <c r="H18" s="32"/>
      <c r="I18" s="13"/>
    </row>
    <row r="19" spans="1:9" ht="20.100000000000001" customHeight="1" x14ac:dyDescent="0.15">
      <c r="A19" s="3"/>
      <c r="B19" s="24"/>
      <c r="C19" s="12"/>
      <c r="D19" s="6"/>
      <c r="E19" s="6"/>
      <c r="F19" s="30"/>
      <c r="G19" s="31"/>
      <c r="H19" s="32"/>
      <c r="I19" s="13"/>
    </row>
    <row r="20" spans="1:9" ht="20.100000000000001" customHeight="1" x14ac:dyDescent="0.15">
      <c r="A20" s="3"/>
      <c r="B20" s="24"/>
      <c r="C20" s="12"/>
      <c r="D20" s="6"/>
      <c r="E20" s="6"/>
      <c r="F20" s="30"/>
      <c r="G20" s="31"/>
      <c r="H20" s="32"/>
      <c r="I20" s="13"/>
    </row>
    <row r="21" spans="1:9" ht="20.100000000000001" customHeight="1" x14ac:dyDescent="0.15">
      <c r="A21" s="3"/>
      <c r="B21" s="24"/>
      <c r="C21" s="12"/>
      <c r="D21" s="6"/>
      <c r="E21" s="6"/>
      <c r="F21" s="30"/>
      <c r="G21" s="31"/>
      <c r="H21" s="32"/>
      <c r="I21" s="13"/>
    </row>
    <row r="22" spans="1:9" ht="20.100000000000001" customHeight="1" x14ac:dyDescent="0.15">
      <c r="A22" s="3"/>
      <c r="B22" s="24"/>
      <c r="C22" s="12"/>
      <c r="D22" s="6"/>
      <c r="E22" s="6"/>
      <c r="F22" s="30"/>
      <c r="G22" s="31"/>
      <c r="H22" s="32"/>
      <c r="I22" s="13"/>
    </row>
    <row r="23" spans="1:9" ht="20.100000000000001" customHeight="1" x14ac:dyDescent="0.15">
      <c r="A23" s="3"/>
      <c r="B23" s="24"/>
      <c r="C23" s="12"/>
      <c r="D23" s="6"/>
      <c r="E23" s="6"/>
      <c r="F23" s="30"/>
      <c r="G23" s="31"/>
      <c r="H23" s="32"/>
      <c r="I23" s="13"/>
    </row>
    <row r="24" spans="1:9" ht="20.100000000000001" customHeight="1" x14ac:dyDescent="0.15">
      <c r="A24" s="3"/>
      <c r="B24" s="24"/>
      <c r="C24" s="12"/>
      <c r="D24" s="6"/>
      <c r="E24" s="6"/>
      <c r="F24" s="30"/>
      <c r="G24" s="31"/>
      <c r="H24" s="32"/>
      <c r="I24" s="13"/>
    </row>
    <row r="25" spans="1:9" ht="20.100000000000001" customHeight="1" x14ac:dyDescent="0.15">
      <c r="A25" s="3"/>
      <c r="B25" s="37" t="s">
        <v>15</v>
      </c>
      <c r="C25" s="38"/>
      <c r="D25" s="38"/>
      <c r="E25" s="38"/>
      <c r="F25" s="38"/>
      <c r="G25" s="35">
        <f>SUM(G15:G24)</f>
        <v>3000000</v>
      </c>
      <c r="H25" s="36">
        <f t="shared" si="1"/>
        <v>300000</v>
      </c>
      <c r="I25" s="13"/>
    </row>
    <row r="26" spans="1:9" ht="20.100000000000001" customHeight="1" x14ac:dyDescent="0.15">
      <c r="A26" s="9"/>
      <c r="B26" s="14"/>
      <c r="C26" s="10"/>
      <c r="D26" s="10"/>
      <c r="E26" s="7"/>
      <c r="F26" s="7"/>
      <c r="G26" s="7"/>
      <c r="H26" s="7"/>
      <c r="I26" s="15"/>
    </row>
    <row r="27" spans="1:9" ht="20.100000000000001" customHeight="1" x14ac:dyDescent="0.15">
      <c r="A27" s="9"/>
      <c r="B27" s="16" t="s">
        <v>13</v>
      </c>
      <c r="C27" s="11"/>
      <c r="D27" s="11"/>
      <c r="E27" s="5"/>
      <c r="F27" s="5"/>
      <c r="G27" s="5"/>
      <c r="H27" s="5"/>
      <c r="I27" s="17"/>
    </row>
    <row r="28" spans="1:9" ht="20.100000000000001" customHeight="1" thickBot="1" x14ac:dyDescent="0.2">
      <c r="A28" s="9"/>
      <c r="B28" s="18"/>
      <c r="C28" s="19"/>
      <c r="D28" s="19"/>
      <c r="E28" s="20"/>
      <c r="F28" s="20"/>
      <c r="G28" s="20"/>
      <c r="H28" s="20"/>
      <c r="I28" s="21"/>
    </row>
    <row r="29" spans="1:9" ht="12.75" thickTop="1" x14ac:dyDescent="0.1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1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1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1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1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1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1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1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1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1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15">
      <c r="A39" s="3"/>
      <c r="B39" s="3"/>
      <c r="C39" s="3"/>
      <c r="D39" s="3"/>
      <c r="E39" s="3"/>
      <c r="F39" s="3"/>
      <c r="G39" s="3"/>
      <c r="H39" s="3"/>
      <c r="I39" s="3"/>
    </row>
  </sheetData>
  <mergeCells count="9">
    <mergeCell ref="B25:F25"/>
    <mergeCell ref="D12:G13"/>
    <mergeCell ref="A4:I4"/>
    <mergeCell ref="G6:I6"/>
    <mergeCell ref="G8:I8"/>
    <mergeCell ref="H12:I13"/>
    <mergeCell ref="B12:C12"/>
    <mergeCell ref="B13:C13"/>
    <mergeCell ref="F10:I10"/>
  </mergeCells>
  <phoneticPr fontId="2" type="noConversion"/>
  <pageMargins left="0.75" right="0.75" top="1" bottom="1" header="0.5" footer="0.5"/>
  <pageSetup paperSize="9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chi hyung an</cp:lastModifiedBy>
  <cp:lastPrinted>2022-02-07T04:11:54Z</cp:lastPrinted>
  <dcterms:created xsi:type="dcterms:W3CDTF">2009-05-11T00:31:31Z</dcterms:created>
  <dcterms:modified xsi:type="dcterms:W3CDTF">2022-02-07T04:12:17Z</dcterms:modified>
</cp:coreProperties>
</file>